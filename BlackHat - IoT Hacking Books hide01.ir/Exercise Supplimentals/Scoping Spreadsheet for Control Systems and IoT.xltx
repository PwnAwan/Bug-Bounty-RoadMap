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8109"/>
  <workbookPr showInkAnnotation="0" autoCompressPictures="0"/>
  <mc:AlternateContent xmlns:mc="http://schemas.openxmlformats.org/markup-compatibility/2006">
    <mc:Choice Requires="x15">
      <x15ac:absPath xmlns:x15ac="http://schemas.microsoft.com/office/spreadsheetml/2010/11/ac" url="/Users/meeas/Library/Group Containers/UBF8T346G9.Office/User Content.localized/Templates.localized/"/>
    </mc:Choice>
  </mc:AlternateContent>
  <bookViews>
    <workbookView xWindow="80" yWindow="460" windowWidth="24760" windowHeight="20540" tabRatio="500"/>
  </bookViews>
  <sheets>
    <sheet name="Sheet1" sheetId="1" r:id="rId1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57" i="1" l="1"/>
  <c r="H51" i="1"/>
  <c r="H48" i="1"/>
  <c r="H43" i="1"/>
  <c r="H34" i="1"/>
  <c r="H19" i="1"/>
  <c r="H7" i="1"/>
  <c r="H4" i="1"/>
  <c r="L8" i="1"/>
  <c r="L11" i="1"/>
  <c r="I57" i="1"/>
  <c r="J57" i="1"/>
  <c r="I51" i="1"/>
  <c r="J51" i="1"/>
  <c r="I48" i="1"/>
  <c r="J48" i="1"/>
  <c r="I43" i="1"/>
  <c r="J43" i="1"/>
  <c r="I34" i="1"/>
  <c r="J34" i="1"/>
  <c r="I19" i="1"/>
  <c r="J19" i="1"/>
  <c r="I7" i="1"/>
  <c r="J7" i="1"/>
  <c r="I4" i="1"/>
  <c r="J4" i="1"/>
  <c r="J68" i="1"/>
  <c r="I68" i="1"/>
  <c r="H68" i="1"/>
</calcChain>
</file>

<file path=xl/sharedStrings.xml><?xml version="1.0" encoding="utf-8"?>
<sst xmlns="http://schemas.openxmlformats.org/spreadsheetml/2006/main" count="100" uniqueCount="91">
  <si>
    <t>DNS Interrogation</t>
  </si>
  <si>
    <t>Port Scanning</t>
  </si>
  <si>
    <t>Fingerprinting</t>
  </si>
  <si>
    <t>SNMP Enumeration</t>
  </si>
  <si>
    <t>Packet Sniffing</t>
  </si>
  <si>
    <t>Auth Vuln Analysis</t>
  </si>
  <si>
    <t>Vuln Validation</t>
  </si>
  <si>
    <t>Packet Capture Analysis</t>
  </si>
  <si>
    <t>Identify Attack Avenues</t>
  </si>
  <si>
    <t>Vuln Exploitation</t>
  </si>
  <si>
    <t>Post Exploitation</t>
  </si>
  <si>
    <t>Server OS Testing</t>
  </si>
  <si>
    <t>Identify Technologies</t>
  </si>
  <si>
    <t>Build Baseline</t>
  </si>
  <si>
    <t>Functional Analysis</t>
  </si>
  <si>
    <t>Process Flow Modeling</t>
  </si>
  <si>
    <t>Mapping</t>
  </si>
  <si>
    <t>Default Config Testing</t>
  </si>
  <si>
    <t>Session Testing</t>
  </si>
  <si>
    <t>Authorization Testing</t>
  </si>
  <si>
    <t>Authentication Testing</t>
  </si>
  <si>
    <t>Business Logic Testing</t>
  </si>
  <si>
    <t>Code Injection Testing</t>
  </si>
  <si>
    <t>DoS Testing</t>
  </si>
  <si>
    <t>Client-Side Code Testing</t>
  </si>
  <si>
    <t>Discovery</t>
  </si>
  <si>
    <t>Notes</t>
  </si>
  <si>
    <t>Exploitation</t>
  </si>
  <si>
    <t>User Interface Testing</t>
  </si>
  <si>
    <t>Info Gathering</t>
  </si>
  <si>
    <t>Vuln Analysis</t>
  </si>
  <si>
    <t>Traffic Capture</t>
  </si>
  <si>
    <t>Unknown Protocol Decoding</t>
  </si>
  <si>
    <t>Protocol Enumeration</t>
  </si>
  <si>
    <t>Protocol Fuzzing</t>
  </si>
  <si>
    <t>Protocol Exploitation</t>
  </si>
  <si>
    <t>Task Categories</t>
  </si>
  <si>
    <t>Tasks</t>
  </si>
  <si>
    <t>Totals in Days</t>
  </si>
  <si>
    <t>Total in Weeks</t>
  </si>
  <si>
    <t>RF Signal Capture</t>
  </si>
  <si>
    <t>Spread Spectrum Analysis</t>
  </si>
  <si>
    <t>Demodulation</t>
  </si>
  <si>
    <t>Network Traffic Extraction</t>
  </si>
  <si>
    <t>RF Signal Transmission</t>
  </si>
  <si>
    <t>Cost</t>
  </si>
  <si>
    <t>Weekly Rate</t>
  </si>
  <si>
    <t>Binalry Firmware Analysis</t>
  </si>
  <si>
    <t>Assembly Code Anaysis</t>
  </si>
  <si>
    <t>Firmware Exploitation</t>
  </si>
  <si>
    <t>Effort in Days</t>
  </si>
  <si>
    <t>Communication Capture</t>
  </si>
  <si>
    <t>Endpoint Impersonation</t>
  </si>
  <si>
    <t>Endpoint Fuzzing</t>
  </si>
  <si>
    <t>Device Dissassembly</t>
  </si>
  <si>
    <t>Circuit Analysis</t>
  </si>
  <si>
    <t>Datasheet Analysis</t>
  </si>
  <si>
    <t>Dumping Data at Rest</t>
  </si>
  <si>
    <t>Snooping Data in Motion</t>
  </si>
  <si>
    <t>Systematic Key Search</t>
  </si>
  <si>
    <t>Firmware Carving</t>
  </si>
  <si>
    <t>Decoding Retrieved Data</t>
  </si>
  <si>
    <t>Embedded Electronics Anaysis</t>
  </si>
  <si>
    <t>Totals:</t>
  </si>
  <si>
    <t>Architecture Review</t>
  </si>
  <si>
    <t>Documentation Review</t>
  </si>
  <si>
    <t>Onsite Interviews</t>
  </si>
  <si>
    <t>Online Recon</t>
  </si>
  <si>
    <t>Firmware Disassembly</t>
  </si>
  <si>
    <t>String Analysis</t>
  </si>
  <si>
    <t>Entropy Analysis</t>
  </si>
  <si>
    <t>Unauth Vuln Analysis</t>
  </si>
  <si>
    <t>Capture Analysis</t>
  </si>
  <si>
    <t>Daily Rate</t>
  </si>
  <si>
    <t>Hourly Rate</t>
  </si>
  <si>
    <t>Multiplier
Description</t>
  </si>
  <si>
    <t>Multiplier</t>
  </si>
  <si>
    <t>Instructions: 
1) Avoid changing any values in column D "Effort in Days", unless you are intentionally modifying the technical methodology for the project.
2) For each task in column A, change the muliplier in column F, using 0 if testing category is not included in this project, 1 for default effort, or 2+ for suggested muliplier description in column H.
3) Set hourly rate in column L, which will auto-calculate daily and weekly rates.
4) Add notes for scoping and/or testing team.</t>
  </si>
  <si>
    <t>per relative complexity</t>
  </si>
  <si>
    <t>per unique device</t>
  </si>
  <si>
    <t>per 20 servers</t>
  </si>
  <si>
    <t>per
protocol</t>
  </si>
  <si>
    <t>per
firmware</t>
  </si>
  <si>
    <t>Control Protocol
Testing</t>
  </si>
  <si>
    <t>Local Maintenance Interface Testing</t>
  </si>
  <si>
    <t>RF Protocol Testing</t>
  </si>
  <si>
    <t>Endpoint and Flow Analysis</t>
  </si>
  <si>
    <t>Known Protocol Analysis</t>
  </si>
  <si>
    <t>Unknown Protocol Analysis</t>
  </si>
  <si>
    <t>Crypto Analysis of Protocols</t>
  </si>
  <si>
    <t>per application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</si>
</sst>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(&quot;$&quot;* #,##0.00_);_(&quot;$&quot;* \(#,##0.00\);_(&quot;$&quot;* &quot;-&quot;??_);_(@_)"/>
    <numFmt numFmtId="164" formatCode="&quot;$&quot;#,##0.00"/>
  </numFmts>
  <fonts count="5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62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</borders>
  <cellStyleXfs count="22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44" fontId="1" fillId="0" borderId="0" applyFont="0" applyFill="0" applyBorder="0" applyAlignment="0" applyProtection="0"/>
  </cellStyleXfs>
  <cellXfs count="122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0" fontId="0" fillId="0" borderId="13" xfId="0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0" borderId="12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1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31" xfId="0" applyBorder="1" applyAlignment="1">
      <alignment vertical="center"/>
    </xf>
    <xf numFmtId="0" fontId="0" fillId="0" borderId="27" xfId="0" applyBorder="1" applyAlignment="1">
      <alignment vertical="center"/>
    </xf>
    <xf numFmtId="0" fontId="0" fillId="0" borderId="16" xfId="0" applyBorder="1" applyAlignment="1">
      <alignment vertical="center"/>
    </xf>
    <xf numFmtId="2" fontId="0" fillId="0" borderId="0" xfId="0" applyNumberFormat="1" applyAlignment="1">
      <alignment vertical="center"/>
    </xf>
    <xf numFmtId="164" fontId="0" fillId="0" borderId="1" xfId="0" applyNumberFormat="1" applyBorder="1" applyAlignment="1">
      <alignment vertical="center"/>
    </xf>
    <xf numFmtId="0" fontId="0" fillId="0" borderId="21" xfId="0" applyBorder="1" applyAlignment="1">
      <alignment horizontal="center" vertical="center"/>
    </xf>
    <xf numFmtId="0" fontId="2" fillId="0" borderId="36" xfId="0" applyFont="1" applyBorder="1" applyAlignment="1">
      <alignment horizontal="center" vertical="center" wrapText="1"/>
    </xf>
    <xf numFmtId="0" fontId="2" fillId="0" borderId="38" xfId="0" applyFont="1" applyBorder="1" applyAlignment="1">
      <alignment horizontal="center" vertical="center" wrapText="1"/>
    </xf>
    <xf numFmtId="0" fontId="2" fillId="0" borderId="39" xfId="0" applyFont="1" applyBorder="1" applyAlignment="1">
      <alignment horizontal="center" vertical="center" wrapText="1"/>
    </xf>
    <xf numFmtId="0" fontId="2" fillId="0" borderId="37" xfId="0" applyFont="1" applyBorder="1" applyAlignment="1">
      <alignment horizontal="center" vertical="center" wrapText="1"/>
    </xf>
    <xf numFmtId="2" fontId="2" fillId="0" borderId="1" xfId="0" applyNumberFormat="1" applyFont="1" applyBorder="1" applyAlignment="1">
      <alignment horizontal="center" vertical="center" wrapText="1"/>
    </xf>
    <xf numFmtId="0" fontId="2" fillId="0" borderId="0" xfId="0" applyFont="1" applyAlignment="1">
      <alignment horizontal="right" vertical="center"/>
    </xf>
    <xf numFmtId="2" fontId="0" fillId="0" borderId="1" xfId="0" applyNumberFormat="1" applyBorder="1" applyAlignment="1">
      <alignment vertical="center"/>
    </xf>
    <xf numFmtId="0" fontId="2" fillId="0" borderId="41" xfId="0" applyFont="1" applyBorder="1" applyAlignment="1">
      <alignment horizontal="center" vertical="center" wrapText="1"/>
    </xf>
    <xf numFmtId="0" fontId="0" fillId="0" borderId="35" xfId="0" applyBorder="1" applyAlignment="1">
      <alignment horizontal="center" vertical="center"/>
    </xf>
    <xf numFmtId="0" fontId="0" fillId="0" borderId="11" xfId="0" applyFont="1" applyBorder="1" applyAlignment="1">
      <alignment horizontal="left" vertical="center" wrapText="1"/>
    </xf>
    <xf numFmtId="0" fontId="0" fillId="0" borderId="12" xfId="0" applyFont="1" applyBorder="1" applyAlignment="1">
      <alignment horizontal="center" vertical="center" wrapText="1"/>
    </xf>
    <xf numFmtId="0" fontId="0" fillId="0" borderId="13" xfId="0" applyFont="1" applyBorder="1" applyAlignment="1">
      <alignment horizontal="left" vertical="center" wrapText="1"/>
    </xf>
    <xf numFmtId="0" fontId="0" fillId="0" borderId="43" xfId="0" applyFont="1" applyBorder="1" applyAlignment="1">
      <alignment horizontal="left" vertical="center" wrapText="1"/>
    </xf>
    <xf numFmtId="0" fontId="0" fillId="0" borderId="45" xfId="0" applyFont="1" applyBorder="1" applyAlignment="1">
      <alignment horizontal="center" vertical="center" wrapText="1"/>
    </xf>
    <xf numFmtId="0" fontId="0" fillId="0" borderId="46" xfId="0" applyFont="1" applyBorder="1" applyAlignment="1">
      <alignment horizontal="left" vertical="center" wrapText="1"/>
    </xf>
    <xf numFmtId="164" fontId="0" fillId="0" borderId="0" xfId="0" applyNumberFormat="1" applyBorder="1" applyAlignment="1">
      <alignment vertical="center"/>
    </xf>
    <xf numFmtId="0" fontId="0" fillId="0" borderId="16" xfId="0" applyFont="1" applyBorder="1" applyAlignment="1">
      <alignment horizontal="left" vertical="center" wrapText="1"/>
    </xf>
    <xf numFmtId="0" fontId="0" fillId="0" borderId="17" xfId="0" applyFont="1" applyBorder="1" applyAlignment="1">
      <alignment horizontal="center" vertical="center" wrapText="1"/>
    </xf>
    <xf numFmtId="0" fontId="0" fillId="0" borderId="18" xfId="0" applyFont="1" applyBorder="1" applyAlignment="1">
      <alignment horizontal="left" vertical="center" wrapText="1"/>
    </xf>
    <xf numFmtId="0" fontId="2" fillId="0" borderId="37" xfId="0" applyFont="1" applyBorder="1" applyAlignment="1">
      <alignment horizontal="center" vertical="center" wrapText="1"/>
    </xf>
    <xf numFmtId="164" fontId="0" fillId="0" borderId="4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37" xfId="0" applyFont="1" applyBorder="1" applyAlignment="1">
      <alignment horizontal="center" vertical="center" wrapText="1"/>
    </xf>
    <xf numFmtId="0" fontId="2" fillId="0" borderId="40" xfId="0" applyFont="1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0" fontId="2" fillId="0" borderId="31" xfId="0" applyFont="1" applyBorder="1" applyAlignment="1">
      <alignment horizontal="center" vertical="center" wrapText="1"/>
    </xf>
    <xf numFmtId="0" fontId="2" fillId="0" borderId="20" xfId="0" applyFont="1" applyBorder="1" applyAlignment="1">
      <alignment horizontal="center" vertical="center" wrapText="1"/>
    </xf>
    <xf numFmtId="0" fontId="2" fillId="0" borderId="22" xfId="0" applyFont="1" applyBorder="1" applyAlignment="1">
      <alignment horizontal="center" vertical="center" wrapText="1"/>
    </xf>
    <xf numFmtId="0" fontId="2" fillId="0" borderId="19" xfId="0" applyFont="1" applyBorder="1" applyAlignment="1">
      <alignment horizontal="center" vertical="center" wrapText="1"/>
    </xf>
    <xf numFmtId="0" fontId="2" fillId="0" borderId="43" xfId="0" applyFont="1" applyBorder="1" applyAlignment="1">
      <alignment horizontal="center" vertical="center" wrapText="1"/>
    </xf>
    <xf numFmtId="0" fontId="2" fillId="0" borderId="44" xfId="0" applyFont="1" applyBorder="1" applyAlignment="1">
      <alignment horizontal="center" vertical="center" wrapText="1"/>
    </xf>
    <xf numFmtId="0" fontId="2" fillId="0" borderId="16" xfId="0" applyFont="1" applyBorder="1" applyAlignment="1">
      <alignment horizontal="center" vertical="center" wrapText="1"/>
    </xf>
    <xf numFmtId="0" fontId="2" fillId="0" borderId="25" xfId="0" applyFont="1" applyBorder="1" applyAlignment="1">
      <alignment horizontal="center" vertical="center" wrapText="1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42" xfId="0" applyFont="1" applyBorder="1" applyAlignment="1">
      <alignment horizontal="center" vertical="center" wrapText="1"/>
    </xf>
    <xf numFmtId="0" fontId="0" fillId="0" borderId="0" xfId="0" applyFont="1" applyBorder="1" applyAlignment="1">
      <alignment horizontal="center" vertical="center" wrapText="1"/>
    </xf>
    <xf numFmtId="0" fontId="0" fillId="0" borderId="47" xfId="0" applyFont="1" applyBorder="1" applyAlignment="1">
      <alignment horizontal="center" vertical="center" wrapText="1"/>
    </xf>
    <xf numFmtId="2" fontId="0" fillId="0" borderId="32" xfId="0" applyNumberFormat="1" applyFont="1" applyBorder="1" applyAlignment="1">
      <alignment horizontal="center" vertical="center" wrapText="1"/>
    </xf>
    <xf numFmtId="2" fontId="0" fillId="0" borderId="29" xfId="0" applyNumberFormat="1" applyFont="1" applyBorder="1" applyAlignment="1">
      <alignment horizontal="center" vertical="center" wrapText="1"/>
    </xf>
    <xf numFmtId="2" fontId="0" fillId="0" borderId="34" xfId="0" applyNumberFormat="1" applyFont="1" applyBorder="1" applyAlignment="1">
      <alignment horizontal="center" vertical="center" wrapText="1"/>
    </xf>
    <xf numFmtId="164" fontId="0" fillId="0" borderId="23" xfId="0" applyNumberFormat="1" applyFont="1" applyBorder="1" applyAlignment="1">
      <alignment horizontal="center" vertical="center" wrapText="1"/>
    </xf>
    <xf numFmtId="164" fontId="0" fillId="0" borderId="6" xfId="0" applyNumberFormat="1" applyFont="1" applyBorder="1" applyAlignment="1">
      <alignment horizontal="center" vertical="center" wrapText="1"/>
    </xf>
    <xf numFmtId="0" fontId="0" fillId="0" borderId="26" xfId="0" applyFont="1" applyBorder="1" applyAlignment="1">
      <alignment horizontal="center" vertical="center" wrapText="1"/>
    </xf>
    <xf numFmtId="2" fontId="0" fillId="0" borderId="32" xfId="0" applyNumberFormat="1" applyBorder="1" applyAlignment="1">
      <alignment horizontal="center" vertical="center"/>
    </xf>
    <xf numFmtId="2" fontId="0" fillId="0" borderId="33" xfId="0" applyNumberFormat="1" applyBorder="1" applyAlignment="1">
      <alignment horizontal="center" vertical="center"/>
    </xf>
    <xf numFmtId="2" fontId="0" fillId="0" borderId="34" xfId="0" applyNumberFormat="1" applyBorder="1" applyAlignment="1">
      <alignment horizontal="center" vertical="center"/>
    </xf>
    <xf numFmtId="164" fontId="0" fillId="0" borderId="28" xfId="0" applyNumberForma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2" fontId="0" fillId="0" borderId="28" xfId="0" applyNumberFormat="1" applyBorder="1" applyAlignment="1">
      <alignment horizontal="center" vertical="center"/>
    </xf>
    <xf numFmtId="2" fontId="0" fillId="0" borderId="29" xfId="0" applyNumberFormat="1" applyBorder="1" applyAlignment="1">
      <alignment horizontal="center" vertical="center"/>
    </xf>
    <xf numFmtId="2" fontId="0" fillId="0" borderId="30" xfId="0" applyNumberFormat="1" applyBorder="1" applyAlignment="1">
      <alignment horizontal="center" vertical="center"/>
    </xf>
    <xf numFmtId="164" fontId="0" fillId="0" borderId="32" xfId="0" applyNumberFormat="1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2" fontId="0" fillId="0" borderId="23" xfId="0" applyNumberFormat="1" applyBorder="1" applyAlignment="1">
      <alignment horizontal="center" vertical="center"/>
    </xf>
    <xf numFmtId="2" fontId="0" fillId="0" borderId="24" xfId="0" applyNumberFormat="1" applyBorder="1" applyAlignment="1">
      <alignment horizontal="center" vertical="center"/>
    </xf>
    <xf numFmtId="2" fontId="0" fillId="0" borderId="26" xfId="0" applyNumberForma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164" fontId="0" fillId="0" borderId="1" xfId="21" applyNumberFormat="1" applyFont="1" applyBorder="1" applyAlignment="1">
      <alignment vertical="center"/>
    </xf>
    <xf numFmtId="0" fontId="0" fillId="0" borderId="4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52" xfId="0" applyFont="1" applyBorder="1" applyAlignment="1">
      <alignment horizontal="center" vertical="center" wrapText="1"/>
    </xf>
    <xf numFmtId="0" fontId="0" fillId="0" borderId="53" xfId="0" applyFont="1" applyBorder="1" applyAlignment="1">
      <alignment horizontal="center" vertical="center" wrapText="1"/>
    </xf>
    <xf numFmtId="0" fontId="0" fillId="0" borderId="43" xfId="0" applyFont="1" applyBorder="1" applyAlignment="1">
      <alignment horizontal="center" vertical="center" wrapText="1"/>
    </xf>
    <xf numFmtId="0" fontId="0" fillId="0" borderId="46" xfId="0" applyFont="1" applyBorder="1" applyAlignment="1">
      <alignment horizontal="center" vertical="center" wrapText="1"/>
    </xf>
    <xf numFmtId="0" fontId="0" fillId="0" borderId="54" xfId="0" applyFont="1" applyBorder="1" applyAlignment="1">
      <alignment horizontal="center" vertical="center" wrapText="1"/>
    </xf>
    <xf numFmtId="0" fontId="0" fillId="0" borderId="55" xfId="0" applyFont="1" applyBorder="1" applyAlignment="1">
      <alignment horizontal="center" vertical="center" wrapText="1"/>
    </xf>
    <xf numFmtId="0" fontId="0" fillId="0" borderId="52" xfId="0" applyBorder="1" applyAlignment="1">
      <alignment horizontal="center" vertical="center" wrapText="1"/>
    </xf>
    <xf numFmtId="0" fontId="0" fillId="0" borderId="43" xfId="0" applyBorder="1" applyAlignment="1">
      <alignment horizontal="center" vertical="center" wrapText="1"/>
    </xf>
    <xf numFmtId="0" fontId="0" fillId="0" borderId="54" xfId="0" applyBorder="1" applyAlignment="1">
      <alignment horizontal="center" vertical="center" wrapText="1"/>
    </xf>
    <xf numFmtId="0" fontId="2" fillId="0" borderId="5" xfId="0" applyFont="1" applyBorder="1" applyAlignment="1">
      <alignment horizontal="left" vertical="top" wrapText="1"/>
    </xf>
    <xf numFmtId="0" fontId="2" fillId="0" borderId="0" xfId="0" applyFont="1" applyBorder="1" applyAlignment="1">
      <alignment horizontal="left" vertical="top" wrapText="1"/>
    </xf>
    <xf numFmtId="0" fontId="0" fillId="0" borderId="53" xfId="0" applyBorder="1" applyAlignment="1">
      <alignment horizontal="center" vertical="center" wrapText="1"/>
    </xf>
    <xf numFmtId="0" fontId="0" fillId="0" borderId="46" xfId="0" applyBorder="1" applyAlignment="1">
      <alignment horizontal="center" vertical="center" wrapText="1"/>
    </xf>
    <xf numFmtId="0" fontId="0" fillId="0" borderId="55" xfId="0" applyBorder="1" applyAlignment="1">
      <alignment horizontal="center" vertical="center" wrapText="1"/>
    </xf>
    <xf numFmtId="0" fontId="2" fillId="0" borderId="56" xfId="0" applyFont="1" applyBorder="1" applyAlignment="1">
      <alignment horizontal="center" vertical="center" wrapText="1"/>
    </xf>
    <xf numFmtId="0" fontId="2" fillId="0" borderId="57" xfId="0" applyFont="1" applyBorder="1" applyAlignment="1">
      <alignment horizontal="center" vertical="center" wrapText="1"/>
    </xf>
    <xf numFmtId="0" fontId="0" fillId="0" borderId="56" xfId="0" applyBorder="1" applyAlignment="1">
      <alignment vertical="center"/>
    </xf>
    <xf numFmtId="0" fontId="0" fillId="0" borderId="58" xfId="0" applyBorder="1" applyAlignment="1">
      <alignment horizontal="center" vertical="center"/>
    </xf>
    <xf numFmtId="0" fontId="0" fillId="0" borderId="59" xfId="0" applyBorder="1" applyAlignment="1">
      <alignment vertical="center"/>
    </xf>
    <xf numFmtId="0" fontId="0" fillId="0" borderId="60" xfId="0" applyBorder="1" applyAlignment="1">
      <alignment horizontal="center" vertical="center"/>
    </xf>
    <xf numFmtId="2" fontId="0" fillId="0" borderId="61" xfId="0" applyNumberFormat="1" applyBorder="1" applyAlignment="1">
      <alignment horizontal="center" vertical="center"/>
    </xf>
    <xf numFmtId="164" fontId="0" fillId="0" borderId="61" xfId="0" applyNumberFormat="1" applyBorder="1" applyAlignment="1">
      <alignment horizontal="center" vertical="center"/>
    </xf>
  </cellXfs>
  <cellStyles count="22">
    <cellStyle name="Currency" xfId="21" builtinId="4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68"/>
  <sheetViews>
    <sheetView tabSelected="1" workbookViewId="0">
      <selection activeCell="E25" sqref="E25"/>
    </sheetView>
  </sheetViews>
  <sheetFormatPr baseColWidth="10" defaultRowHeight="16" x14ac:dyDescent="0.2"/>
  <cols>
    <col min="1" max="1" width="10.83203125" style="4"/>
    <col min="2" max="2" width="11.33203125" style="4" bestFit="1" customWidth="1"/>
    <col min="3" max="3" width="23.6640625" style="1" customWidth="1"/>
    <col min="4" max="4" width="10.83203125" style="2"/>
    <col min="5" max="5" width="41.83203125" style="1" customWidth="1"/>
    <col min="6" max="7" width="10.83203125" style="99"/>
    <col min="8" max="8" width="10.83203125" style="1"/>
    <col min="9" max="9" width="10.83203125" style="16"/>
    <col min="10" max="10" width="12.6640625" style="1" customWidth="1"/>
    <col min="11" max="11" width="10.83203125" style="1"/>
    <col min="12" max="12" width="18.1640625" style="1" customWidth="1"/>
    <col min="13" max="16384" width="10.83203125" style="1"/>
  </cols>
  <sheetData>
    <row r="1" spans="1:12" ht="85" customHeight="1" x14ac:dyDescent="0.2">
      <c r="A1" s="109" t="s">
        <v>77</v>
      </c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</row>
    <row r="2" spans="1:12" ht="17" thickBot="1" x14ac:dyDescent="0.25"/>
    <row r="3" spans="1:12" s="3" customFormat="1" ht="33" thickBot="1" x14ac:dyDescent="0.25">
      <c r="A3" s="42" t="s">
        <v>36</v>
      </c>
      <c r="B3" s="43"/>
      <c r="C3" s="22" t="s">
        <v>37</v>
      </c>
      <c r="D3" s="20" t="s">
        <v>50</v>
      </c>
      <c r="E3" s="21" t="s">
        <v>26</v>
      </c>
      <c r="F3" s="38" t="s">
        <v>76</v>
      </c>
      <c r="G3" s="21" t="s">
        <v>75</v>
      </c>
      <c r="H3" s="26" t="s">
        <v>38</v>
      </c>
      <c r="I3" s="23" t="s">
        <v>39</v>
      </c>
      <c r="J3" s="19" t="s">
        <v>45</v>
      </c>
      <c r="L3" s="1"/>
    </row>
    <row r="4" spans="1:12" s="3" customFormat="1" ht="16" customHeight="1" thickBot="1" x14ac:dyDescent="0.25">
      <c r="A4" s="44" t="s">
        <v>64</v>
      </c>
      <c r="B4" s="49"/>
      <c r="C4" s="28" t="s">
        <v>65</v>
      </c>
      <c r="D4" s="29">
        <v>1</v>
      </c>
      <c r="E4" s="30"/>
      <c r="F4" s="100">
        <v>1</v>
      </c>
      <c r="G4" s="101" t="s">
        <v>78</v>
      </c>
      <c r="H4" s="56">
        <f>SUM(D4:D6)*F4</f>
        <v>3.5</v>
      </c>
      <c r="I4" s="59">
        <f>H4/5</f>
        <v>0.7</v>
      </c>
      <c r="J4" s="62">
        <f>I4*$L$11</f>
        <v>0</v>
      </c>
      <c r="L4" s="90" t="s">
        <v>74</v>
      </c>
    </row>
    <row r="5" spans="1:12" s="3" customFormat="1" ht="16" customHeight="1" thickBot="1" x14ac:dyDescent="0.25">
      <c r="A5" s="50"/>
      <c r="B5" s="51"/>
      <c r="C5" s="31" t="s">
        <v>66</v>
      </c>
      <c r="D5" s="32">
        <v>2</v>
      </c>
      <c r="E5" s="33"/>
      <c r="F5" s="102"/>
      <c r="G5" s="103"/>
      <c r="H5" s="57"/>
      <c r="I5" s="60"/>
      <c r="J5" s="63"/>
      <c r="L5" s="91"/>
    </row>
    <row r="6" spans="1:12" s="3" customFormat="1" ht="17" thickBot="1" x14ac:dyDescent="0.25">
      <c r="A6" s="52"/>
      <c r="B6" s="53"/>
      <c r="C6" s="35" t="s">
        <v>67</v>
      </c>
      <c r="D6" s="36">
        <v>0.5</v>
      </c>
      <c r="E6" s="37"/>
      <c r="F6" s="104"/>
      <c r="G6" s="105"/>
      <c r="H6" s="58"/>
      <c r="I6" s="61"/>
      <c r="J6" s="64"/>
      <c r="L6" s="1"/>
    </row>
    <row r="7" spans="1:12" ht="17" thickBot="1" x14ac:dyDescent="0.25">
      <c r="A7" s="44" t="s">
        <v>11</v>
      </c>
      <c r="B7" s="49" t="s">
        <v>29</v>
      </c>
      <c r="C7" s="11" t="s">
        <v>0</v>
      </c>
      <c r="D7" s="8">
        <v>0.5</v>
      </c>
      <c r="E7" s="5"/>
      <c r="F7" s="106">
        <v>1</v>
      </c>
      <c r="G7" s="111" t="s">
        <v>80</v>
      </c>
      <c r="H7" s="92">
        <f>SUM(D7:D18)*F7</f>
        <v>16.5</v>
      </c>
      <c r="I7" s="81">
        <f>H7/5</f>
        <v>3.3</v>
      </c>
      <c r="J7" s="68">
        <f>I7*$L$11</f>
        <v>0</v>
      </c>
      <c r="L7" s="90" t="s">
        <v>73</v>
      </c>
    </row>
    <row r="8" spans="1:12" ht="17" thickBot="1" x14ac:dyDescent="0.25">
      <c r="A8" s="45"/>
      <c r="B8" s="47"/>
      <c r="C8" s="12" t="s">
        <v>1</v>
      </c>
      <c r="D8" s="9">
        <v>0.5</v>
      </c>
      <c r="E8" s="6"/>
      <c r="F8" s="107"/>
      <c r="G8" s="112"/>
      <c r="H8" s="40"/>
      <c r="I8" s="82"/>
      <c r="J8" s="54"/>
      <c r="L8" s="91">
        <f>L5*8</f>
        <v>0</v>
      </c>
    </row>
    <row r="9" spans="1:12" x14ac:dyDescent="0.2">
      <c r="A9" s="45"/>
      <c r="B9" s="47"/>
      <c r="C9" s="12" t="s">
        <v>2</v>
      </c>
      <c r="D9" s="9">
        <v>0.5</v>
      </c>
      <c r="E9" s="6"/>
      <c r="F9" s="107"/>
      <c r="G9" s="112"/>
      <c r="H9" s="40"/>
      <c r="I9" s="82"/>
      <c r="J9" s="54"/>
    </row>
    <row r="10" spans="1:12" ht="17" thickBot="1" x14ac:dyDescent="0.25">
      <c r="A10" s="45"/>
      <c r="B10" s="47"/>
      <c r="C10" s="12" t="s">
        <v>3</v>
      </c>
      <c r="D10" s="9">
        <v>0.5</v>
      </c>
      <c r="E10" s="6"/>
      <c r="F10" s="107"/>
      <c r="G10" s="112"/>
      <c r="H10" s="40"/>
      <c r="I10" s="82"/>
      <c r="J10" s="54"/>
      <c r="L10" s="3" t="s">
        <v>46</v>
      </c>
    </row>
    <row r="11" spans="1:12" ht="17" thickBot="1" x14ac:dyDescent="0.25">
      <c r="A11" s="45"/>
      <c r="B11" s="47"/>
      <c r="C11" s="12" t="s">
        <v>4</v>
      </c>
      <c r="D11" s="9">
        <v>0.5</v>
      </c>
      <c r="E11" s="6"/>
      <c r="F11" s="107"/>
      <c r="G11" s="112"/>
      <c r="H11" s="40"/>
      <c r="I11" s="82"/>
      <c r="J11" s="54"/>
      <c r="L11" s="17">
        <f>L8*5</f>
        <v>0</v>
      </c>
    </row>
    <row r="12" spans="1:12" x14ac:dyDescent="0.2">
      <c r="A12" s="45"/>
      <c r="B12" s="47" t="s">
        <v>30</v>
      </c>
      <c r="C12" s="12" t="s">
        <v>71</v>
      </c>
      <c r="D12" s="9">
        <v>2</v>
      </c>
      <c r="E12" s="6"/>
      <c r="F12" s="107"/>
      <c r="G12" s="112"/>
      <c r="H12" s="40"/>
      <c r="I12" s="82"/>
      <c r="J12" s="54"/>
      <c r="L12" s="34"/>
    </row>
    <row r="13" spans="1:12" x14ac:dyDescent="0.2">
      <c r="A13" s="45"/>
      <c r="B13" s="47"/>
      <c r="C13" s="12" t="s">
        <v>5</v>
      </c>
      <c r="D13" s="9">
        <v>2</v>
      </c>
      <c r="E13" s="6"/>
      <c r="F13" s="107"/>
      <c r="G13" s="112"/>
      <c r="H13" s="40"/>
      <c r="I13" s="82"/>
      <c r="J13" s="54"/>
    </row>
    <row r="14" spans="1:12" x14ac:dyDescent="0.2">
      <c r="A14" s="45"/>
      <c r="B14" s="47"/>
      <c r="C14" s="12" t="s">
        <v>6</v>
      </c>
      <c r="D14" s="9">
        <v>2</v>
      </c>
      <c r="E14" s="6"/>
      <c r="F14" s="107"/>
      <c r="G14" s="112"/>
      <c r="H14" s="40"/>
      <c r="I14" s="82"/>
      <c r="J14" s="54"/>
    </row>
    <row r="15" spans="1:12" x14ac:dyDescent="0.2">
      <c r="A15" s="45"/>
      <c r="B15" s="47"/>
      <c r="C15" s="12" t="s">
        <v>7</v>
      </c>
      <c r="D15" s="9">
        <v>2</v>
      </c>
      <c r="E15" s="6"/>
      <c r="F15" s="107"/>
      <c r="G15" s="112"/>
      <c r="H15" s="40"/>
      <c r="I15" s="82"/>
      <c r="J15" s="54"/>
    </row>
    <row r="16" spans="1:12" x14ac:dyDescent="0.2">
      <c r="A16" s="45"/>
      <c r="B16" s="47" t="s">
        <v>27</v>
      </c>
      <c r="C16" s="12" t="s">
        <v>8</v>
      </c>
      <c r="D16" s="9">
        <v>2</v>
      </c>
      <c r="E16" s="6"/>
      <c r="F16" s="107"/>
      <c r="G16" s="112"/>
      <c r="H16" s="40"/>
      <c r="I16" s="82"/>
      <c r="J16" s="54"/>
    </row>
    <row r="17" spans="1:10" x14ac:dyDescent="0.2">
      <c r="A17" s="45"/>
      <c r="B17" s="47"/>
      <c r="C17" s="12" t="s">
        <v>9</v>
      </c>
      <c r="D17" s="9">
        <v>2</v>
      </c>
      <c r="E17" s="6"/>
      <c r="F17" s="107"/>
      <c r="G17" s="112"/>
      <c r="H17" s="40"/>
      <c r="I17" s="82"/>
      <c r="J17" s="54"/>
    </row>
    <row r="18" spans="1:10" ht="17" thickBot="1" x14ac:dyDescent="0.25">
      <c r="A18" s="46"/>
      <c r="B18" s="48"/>
      <c r="C18" s="13" t="s">
        <v>10</v>
      </c>
      <c r="D18" s="18">
        <v>2</v>
      </c>
      <c r="E18" s="14"/>
      <c r="F18" s="108"/>
      <c r="G18" s="113"/>
      <c r="H18" s="41"/>
      <c r="I18" s="83"/>
      <c r="J18" s="55"/>
    </row>
    <row r="19" spans="1:10" x14ac:dyDescent="0.2">
      <c r="A19" s="44" t="s">
        <v>28</v>
      </c>
      <c r="B19" s="49" t="s">
        <v>16</v>
      </c>
      <c r="C19" s="11" t="s">
        <v>12</v>
      </c>
      <c r="D19" s="8">
        <v>0.5</v>
      </c>
      <c r="E19" s="5"/>
      <c r="F19" s="106">
        <v>1</v>
      </c>
      <c r="G19" s="111" t="s">
        <v>90</v>
      </c>
      <c r="H19" s="92">
        <f>SUM(D19:D33)*F19</f>
        <v>12</v>
      </c>
      <c r="I19" s="87">
        <f>H19/5</f>
        <v>2.4</v>
      </c>
      <c r="J19" s="69">
        <f>I19*$L$11</f>
        <v>0</v>
      </c>
    </row>
    <row r="20" spans="1:10" x14ac:dyDescent="0.2">
      <c r="A20" s="45"/>
      <c r="B20" s="47"/>
      <c r="C20" s="12" t="s">
        <v>13</v>
      </c>
      <c r="D20" s="9">
        <v>0.5</v>
      </c>
      <c r="E20" s="6"/>
      <c r="F20" s="107"/>
      <c r="G20" s="112"/>
      <c r="H20" s="40"/>
      <c r="I20" s="88"/>
      <c r="J20" s="70"/>
    </row>
    <row r="21" spans="1:10" x14ac:dyDescent="0.2">
      <c r="A21" s="45"/>
      <c r="B21" s="47"/>
      <c r="C21" s="12" t="s">
        <v>14</v>
      </c>
      <c r="D21" s="9">
        <v>0.5</v>
      </c>
      <c r="E21" s="6"/>
      <c r="F21" s="107"/>
      <c r="G21" s="112"/>
      <c r="H21" s="40"/>
      <c r="I21" s="88"/>
      <c r="J21" s="70"/>
    </row>
    <row r="22" spans="1:10" x14ac:dyDescent="0.2">
      <c r="A22" s="45"/>
      <c r="B22" s="47"/>
      <c r="C22" s="12" t="s">
        <v>15</v>
      </c>
      <c r="D22" s="9">
        <v>0.5</v>
      </c>
      <c r="E22" s="6"/>
      <c r="F22" s="107"/>
      <c r="G22" s="112"/>
      <c r="H22" s="40"/>
      <c r="I22" s="88"/>
      <c r="J22" s="70"/>
    </row>
    <row r="23" spans="1:10" x14ac:dyDescent="0.2">
      <c r="A23" s="45"/>
      <c r="B23" s="47" t="s">
        <v>25</v>
      </c>
      <c r="C23" s="12" t="s">
        <v>17</v>
      </c>
      <c r="D23" s="9">
        <v>0.5</v>
      </c>
      <c r="E23" s="6"/>
      <c r="F23" s="107"/>
      <c r="G23" s="112"/>
      <c r="H23" s="40"/>
      <c r="I23" s="88"/>
      <c r="J23" s="70"/>
    </row>
    <row r="24" spans="1:10" x14ac:dyDescent="0.2">
      <c r="A24" s="45"/>
      <c r="B24" s="47"/>
      <c r="C24" s="12" t="s">
        <v>20</v>
      </c>
      <c r="D24" s="9">
        <v>0.5</v>
      </c>
      <c r="E24" s="6"/>
      <c r="F24" s="107"/>
      <c r="G24" s="112"/>
      <c r="H24" s="40"/>
      <c r="I24" s="88"/>
      <c r="J24" s="70"/>
    </row>
    <row r="25" spans="1:10" x14ac:dyDescent="0.2">
      <c r="A25" s="45"/>
      <c r="B25" s="47"/>
      <c r="C25" s="12" t="s">
        <v>18</v>
      </c>
      <c r="D25" s="9">
        <v>0.5</v>
      </c>
      <c r="E25" s="6"/>
      <c r="F25" s="107"/>
      <c r="G25" s="112"/>
      <c r="H25" s="40"/>
      <c r="I25" s="88"/>
      <c r="J25" s="70"/>
    </row>
    <row r="26" spans="1:10" x14ac:dyDescent="0.2">
      <c r="A26" s="45"/>
      <c r="B26" s="47"/>
      <c r="C26" s="12" t="s">
        <v>19</v>
      </c>
      <c r="D26" s="9">
        <v>0.5</v>
      </c>
      <c r="E26" s="6"/>
      <c r="F26" s="107"/>
      <c r="G26" s="112"/>
      <c r="H26" s="40"/>
      <c r="I26" s="88"/>
      <c r="J26" s="70"/>
    </row>
    <row r="27" spans="1:10" x14ac:dyDescent="0.2">
      <c r="A27" s="45"/>
      <c r="B27" s="47"/>
      <c r="C27" s="12" t="s">
        <v>21</v>
      </c>
      <c r="D27" s="9">
        <v>0.5</v>
      </c>
      <c r="E27" s="6"/>
      <c r="F27" s="107"/>
      <c r="G27" s="112"/>
      <c r="H27" s="40"/>
      <c r="I27" s="88"/>
      <c r="J27" s="70"/>
    </row>
    <row r="28" spans="1:10" x14ac:dyDescent="0.2">
      <c r="A28" s="45"/>
      <c r="B28" s="47"/>
      <c r="C28" s="12" t="s">
        <v>22</v>
      </c>
      <c r="D28" s="9">
        <v>0.5</v>
      </c>
      <c r="E28" s="6"/>
      <c r="F28" s="107"/>
      <c r="G28" s="112"/>
      <c r="H28" s="40"/>
      <c r="I28" s="88"/>
      <c r="J28" s="70"/>
    </row>
    <row r="29" spans="1:10" x14ac:dyDescent="0.2">
      <c r="A29" s="45"/>
      <c r="B29" s="47"/>
      <c r="C29" s="12" t="s">
        <v>23</v>
      </c>
      <c r="D29" s="9">
        <v>0.5</v>
      </c>
      <c r="E29" s="6"/>
      <c r="F29" s="107"/>
      <c r="G29" s="112"/>
      <c r="H29" s="40"/>
      <c r="I29" s="88"/>
      <c r="J29" s="70"/>
    </row>
    <row r="30" spans="1:10" x14ac:dyDescent="0.2">
      <c r="A30" s="45"/>
      <c r="B30" s="47"/>
      <c r="C30" s="12" t="s">
        <v>24</v>
      </c>
      <c r="D30" s="9">
        <v>0.5</v>
      </c>
      <c r="E30" s="6"/>
      <c r="F30" s="107"/>
      <c r="G30" s="112"/>
      <c r="H30" s="40"/>
      <c r="I30" s="88"/>
      <c r="J30" s="70"/>
    </row>
    <row r="31" spans="1:10" x14ac:dyDescent="0.2">
      <c r="A31" s="45"/>
      <c r="B31" s="47" t="s">
        <v>27</v>
      </c>
      <c r="C31" s="12" t="s">
        <v>8</v>
      </c>
      <c r="D31" s="9">
        <v>2</v>
      </c>
      <c r="E31" s="6"/>
      <c r="F31" s="107"/>
      <c r="G31" s="112"/>
      <c r="H31" s="40"/>
      <c r="I31" s="88"/>
      <c r="J31" s="70"/>
    </row>
    <row r="32" spans="1:10" x14ac:dyDescent="0.2">
      <c r="A32" s="45"/>
      <c r="B32" s="47"/>
      <c r="C32" s="12" t="s">
        <v>9</v>
      </c>
      <c r="D32" s="9">
        <v>2</v>
      </c>
      <c r="E32" s="6"/>
      <c r="F32" s="107"/>
      <c r="G32" s="112"/>
      <c r="H32" s="40"/>
      <c r="I32" s="88"/>
      <c r="J32" s="70"/>
    </row>
    <row r="33" spans="1:10" ht="17" thickBot="1" x14ac:dyDescent="0.25">
      <c r="A33" s="52"/>
      <c r="B33" s="53"/>
      <c r="C33" s="15" t="s">
        <v>10</v>
      </c>
      <c r="D33" s="10">
        <v>2</v>
      </c>
      <c r="E33" s="7"/>
      <c r="F33" s="108"/>
      <c r="G33" s="113"/>
      <c r="H33" s="41"/>
      <c r="I33" s="89"/>
      <c r="J33" s="71"/>
    </row>
    <row r="34" spans="1:10" x14ac:dyDescent="0.2">
      <c r="A34" s="44" t="s">
        <v>83</v>
      </c>
      <c r="B34" s="49"/>
      <c r="C34" s="11" t="s">
        <v>31</v>
      </c>
      <c r="D34" s="8">
        <v>0.5</v>
      </c>
      <c r="E34" s="5"/>
      <c r="F34" s="106">
        <v>1</v>
      </c>
      <c r="G34" s="111" t="s">
        <v>81</v>
      </c>
      <c r="H34" s="93">
        <f>SUM(D34:D42)*F34</f>
        <v>15.5</v>
      </c>
      <c r="I34" s="65">
        <f>H34/5</f>
        <v>3.1</v>
      </c>
      <c r="J34" s="84">
        <f>I34*$L$11</f>
        <v>0</v>
      </c>
    </row>
    <row r="35" spans="1:10" x14ac:dyDescent="0.2">
      <c r="A35" s="114"/>
      <c r="B35" s="115"/>
      <c r="C35" s="116" t="s">
        <v>86</v>
      </c>
      <c r="D35" s="117"/>
      <c r="E35" s="118"/>
      <c r="F35" s="107"/>
      <c r="G35" s="112"/>
      <c r="H35" s="119"/>
      <c r="I35" s="120"/>
      <c r="J35" s="121"/>
    </row>
    <row r="36" spans="1:10" x14ac:dyDescent="0.2">
      <c r="A36" s="114"/>
      <c r="B36" s="115"/>
      <c r="C36" s="116" t="s">
        <v>89</v>
      </c>
      <c r="D36" s="117"/>
      <c r="E36" s="118"/>
      <c r="F36" s="107"/>
      <c r="G36" s="112"/>
      <c r="H36" s="119"/>
      <c r="I36" s="120"/>
      <c r="J36" s="121"/>
    </row>
    <row r="37" spans="1:10" x14ac:dyDescent="0.2">
      <c r="A37" s="45"/>
      <c r="B37" s="47"/>
      <c r="C37" s="12" t="s">
        <v>87</v>
      </c>
      <c r="D37" s="9">
        <v>2</v>
      </c>
      <c r="E37" s="6"/>
      <c r="F37" s="107"/>
      <c r="G37" s="112"/>
      <c r="H37" s="94"/>
      <c r="I37" s="66"/>
      <c r="J37" s="85"/>
    </row>
    <row r="38" spans="1:10" x14ac:dyDescent="0.2">
      <c r="A38" s="45"/>
      <c r="B38" s="47"/>
      <c r="C38" s="12" t="s">
        <v>32</v>
      </c>
      <c r="D38" s="9">
        <v>2</v>
      </c>
      <c r="E38" s="6"/>
      <c r="F38" s="107"/>
      <c r="G38" s="112"/>
      <c r="H38" s="94"/>
      <c r="I38" s="66"/>
      <c r="J38" s="85"/>
    </row>
    <row r="39" spans="1:10" x14ac:dyDescent="0.2">
      <c r="A39" s="45"/>
      <c r="B39" s="47"/>
      <c r="C39" s="12" t="s">
        <v>88</v>
      </c>
      <c r="D39" s="9">
        <v>2</v>
      </c>
      <c r="E39" s="6"/>
      <c r="F39" s="107"/>
      <c r="G39" s="112"/>
      <c r="H39" s="94"/>
      <c r="I39" s="66"/>
      <c r="J39" s="85"/>
    </row>
    <row r="40" spans="1:10" x14ac:dyDescent="0.2">
      <c r="A40" s="45"/>
      <c r="B40" s="47"/>
      <c r="C40" s="12" t="s">
        <v>33</v>
      </c>
      <c r="D40" s="9">
        <v>2</v>
      </c>
      <c r="E40" s="6"/>
      <c r="F40" s="107"/>
      <c r="G40" s="112"/>
      <c r="H40" s="94"/>
      <c r="I40" s="66"/>
      <c r="J40" s="85"/>
    </row>
    <row r="41" spans="1:10" x14ac:dyDescent="0.2">
      <c r="A41" s="45"/>
      <c r="B41" s="47"/>
      <c r="C41" s="12" t="s">
        <v>34</v>
      </c>
      <c r="D41" s="9">
        <v>2</v>
      </c>
      <c r="E41" s="6"/>
      <c r="F41" s="107"/>
      <c r="G41" s="112"/>
      <c r="H41" s="94"/>
      <c r="I41" s="66"/>
      <c r="J41" s="85"/>
    </row>
    <row r="42" spans="1:10" ht="17" thickBot="1" x14ac:dyDescent="0.25">
      <c r="A42" s="52"/>
      <c r="B42" s="53"/>
      <c r="C42" s="15" t="s">
        <v>35</v>
      </c>
      <c r="D42" s="10">
        <v>5</v>
      </c>
      <c r="E42" s="7"/>
      <c r="F42" s="108"/>
      <c r="G42" s="113"/>
      <c r="H42" s="95"/>
      <c r="I42" s="67"/>
      <c r="J42" s="86"/>
    </row>
    <row r="43" spans="1:10" x14ac:dyDescent="0.2">
      <c r="A43" s="44" t="s">
        <v>85</v>
      </c>
      <c r="B43" s="49"/>
      <c r="C43" s="11" t="s">
        <v>40</v>
      </c>
      <c r="D43" s="8">
        <v>2</v>
      </c>
      <c r="E43" s="5"/>
      <c r="F43" s="106">
        <v>1</v>
      </c>
      <c r="G43" s="111" t="s">
        <v>81</v>
      </c>
      <c r="H43" s="96">
        <f>SUM(D43:D47)*F43</f>
        <v>24</v>
      </c>
      <c r="I43" s="65">
        <f>H43/5</f>
        <v>4.8</v>
      </c>
      <c r="J43" s="69">
        <f>I43*$L$11</f>
        <v>0</v>
      </c>
    </row>
    <row r="44" spans="1:10" x14ac:dyDescent="0.2">
      <c r="A44" s="45"/>
      <c r="B44" s="47"/>
      <c r="C44" s="12" t="s">
        <v>41</v>
      </c>
      <c r="D44" s="9">
        <v>10</v>
      </c>
      <c r="E44" s="6"/>
      <c r="F44" s="107"/>
      <c r="G44" s="112"/>
      <c r="H44" s="97"/>
      <c r="I44" s="66"/>
      <c r="J44" s="70"/>
    </row>
    <row r="45" spans="1:10" x14ac:dyDescent="0.2">
      <c r="A45" s="45"/>
      <c r="B45" s="47"/>
      <c r="C45" s="12" t="s">
        <v>42</v>
      </c>
      <c r="D45" s="9">
        <v>2</v>
      </c>
      <c r="E45" s="6"/>
      <c r="F45" s="107"/>
      <c r="G45" s="112"/>
      <c r="H45" s="97"/>
      <c r="I45" s="66"/>
      <c r="J45" s="70"/>
    </row>
    <row r="46" spans="1:10" x14ac:dyDescent="0.2">
      <c r="A46" s="45"/>
      <c r="B46" s="47"/>
      <c r="C46" s="12" t="s">
        <v>43</v>
      </c>
      <c r="D46" s="9">
        <v>5</v>
      </c>
      <c r="E46" s="6"/>
      <c r="F46" s="107"/>
      <c r="G46" s="112"/>
      <c r="H46" s="97"/>
      <c r="I46" s="66"/>
      <c r="J46" s="70"/>
    </row>
    <row r="47" spans="1:10" ht="17" thickBot="1" x14ac:dyDescent="0.25">
      <c r="A47" s="52"/>
      <c r="B47" s="53"/>
      <c r="C47" s="15" t="s">
        <v>44</v>
      </c>
      <c r="D47" s="10">
        <v>5</v>
      </c>
      <c r="E47" s="7"/>
      <c r="F47" s="108"/>
      <c r="G47" s="113"/>
      <c r="H47" s="98"/>
      <c r="I47" s="67"/>
      <c r="J47" s="71"/>
    </row>
    <row r="48" spans="1:10" x14ac:dyDescent="0.2">
      <c r="A48" s="44" t="s">
        <v>47</v>
      </c>
      <c r="B48" s="49"/>
      <c r="C48" s="11" t="s">
        <v>68</v>
      </c>
      <c r="D48" s="8">
        <v>5</v>
      </c>
      <c r="E48" s="5"/>
      <c r="F48" s="106">
        <v>1</v>
      </c>
      <c r="G48" s="111" t="s">
        <v>82</v>
      </c>
      <c r="H48" s="78">
        <f>SUM(D48:D50)*F48</f>
        <v>15</v>
      </c>
      <c r="I48" s="81">
        <f>H48/5</f>
        <v>3</v>
      </c>
      <c r="J48" s="68">
        <f>I48*$L$11</f>
        <v>0</v>
      </c>
    </row>
    <row r="49" spans="1:10" x14ac:dyDescent="0.2">
      <c r="A49" s="45"/>
      <c r="B49" s="47"/>
      <c r="C49" s="12" t="s">
        <v>48</v>
      </c>
      <c r="D49" s="9">
        <v>5</v>
      </c>
      <c r="E49" s="6"/>
      <c r="F49" s="107"/>
      <c r="G49" s="112"/>
      <c r="H49" s="79"/>
      <c r="I49" s="82"/>
      <c r="J49" s="54"/>
    </row>
    <row r="50" spans="1:10" ht="17" thickBot="1" x14ac:dyDescent="0.25">
      <c r="A50" s="52"/>
      <c r="B50" s="53"/>
      <c r="C50" s="15" t="s">
        <v>49</v>
      </c>
      <c r="D50" s="10">
        <v>5</v>
      </c>
      <c r="E50" s="7"/>
      <c r="F50" s="108"/>
      <c r="G50" s="113"/>
      <c r="H50" s="80"/>
      <c r="I50" s="83"/>
      <c r="J50" s="55"/>
    </row>
    <row r="51" spans="1:10" x14ac:dyDescent="0.2">
      <c r="A51" s="44" t="s">
        <v>84</v>
      </c>
      <c r="B51" s="49"/>
      <c r="C51" s="11" t="s">
        <v>14</v>
      </c>
      <c r="D51" s="8">
        <v>0.5</v>
      </c>
      <c r="E51" s="5"/>
      <c r="F51" s="106">
        <v>1</v>
      </c>
      <c r="G51" s="111" t="s">
        <v>81</v>
      </c>
      <c r="H51" s="78">
        <f>SUM(D51:D56)*F51</f>
        <v>9</v>
      </c>
      <c r="I51" s="81">
        <f>H51/5</f>
        <v>1.8</v>
      </c>
      <c r="J51" s="39">
        <f>I51*$L$11</f>
        <v>0</v>
      </c>
    </row>
    <row r="52" spans="1:10" x14ac:dyDescent="0.2">
      <c r="A52" s="45"/>
      <c r="B52" s="47"/>
      <c r="C52" s="12" t="s">
        <v>51</v>
      </c>
      <c r="D52" s="9">
        <v>0.5</v>
      </c>
      <c r="E52" s="6"/>
      <c r="F52" s="107"/>
      <c r="G52" s="112"/>
      <c r="H52" s="79"/>
      <c r="I52" s="82"/>
      <c r="J52" s="40"/>
    </row>
    <row r="53" spans="1:10" x14ac:dyDescent="0.2">
      <c r="A53" s="45"/>
      <c r="B53" s="47"/>
      <c r="C53" s="12" t="s">
        <v>72</v>
      </c>
      <c r="D53" s="9">
        <v>1</v>
      </c>
      <c r="E53" s="6"/>
      <c r="F53" s="107"/>
      <c r="G53" s="112"/>
      <c r="H53" s="79"/>
      <c r="I53" s="82"/>
      <c r="J53" s="40"/>
    </row>
    <row r="54" spans="1:10" x14ac:dyDescent="0.2">
      <c r="A54" s="45"/>
      <c r="B54" s="47"/>
      <c r="C54" s="12" t="s">
        <v>52</v>
      </c>
      <c r="D54" s="9">
        <v>1</v>
      </c>
      <c r="E54" s="6"/>
      <c r="F54" s="107"/>
      <c r="G54" s="112"/>
      <c r="H54" s="79"/>
      <c r="I54" s="82"/>
      <c r="J54" s="40"/>
    </row>
    <row r="55" spans="1:10" x14ac:dyDescent="0.2">
      <c r="A55" s="45"/>
      <c r="B55" s="47"/>
      <c r="C55" s="12" t="s">
        <v>53</v>
      </c>
      <c r="D55" s="9">
        <v>1</v>
      </c>
      <c r="E55" s="6"/>
      <c r="F55" s="107"/>
      <c r="G55" s="112"/>
      <c r="H55" s="79"/>
      <c r="I55" s="82"/>
      <c r="J55" s="40"/>
    </row>
    <row r="56" spans="1:10" ht="17" thickBot="1" x14ac:dyDescent="0.25">
      <c r="A56" s="52"/>
      <c r="B56" s="53"/>
      <c r="C56" s="15" t="s">
        <v>9</v>
      </c>
      <c r="D56" s="10">
        <v>5</v>
      </c>
      <c r="E56" s="7"/>
      <c r="F56" s="108"/>
      <c r="G56" s="113"/>
      <c r="H56" s="80"/>
      <c r="I56" s="83"/>
      <c r="J56" s="41"/>
    </row>
    <row r="57" spans="1:10" x14ac:dyDescent="0.2">
      <c r="A57" s="72" t="s">
        <v>62</v>
      </c>
      <c r="B57" s="73"/>
      <c r="C57" s="11" t="s">
        <v>54</v>
      </c>
      <c r="D57" s="8">
        <v>0.5</v>
      </c>
      <c r="E57" s="5"/>
      <c r="F57" s="106">
        <v>1</v>
      </c>
      <c r="G57" s="111" t="s">
        <v>79</v>
      </c>
      <c r="H57" s="78">
        <f>SUM(D57:D67)*F57</f>
        <v>20.5</v>
      </c>
      <c r="I57" s="81">
        <f>H57/5</f>
        <v>4.0999999999999996</v>
      </c>
      <c r="J57" s="39">
        <f>I57*$L$11</f>
        <v>0</v>
      </c>
    </row>
    <row r="58" spans="1:10" x14ac:dyDescent="0.2">
      <c r="A58" s="74"/>
      <c r="B58" s="75"/>
      <c r="C58" s="12" t="s">
        <v>55</v>
      </c>
      <c r="D58" s="9">
        <v>0.5</v>
      </c>
      <c r="E58" s="6"/>
      <c r="F58" s="107"/>
      <c r="G58" s="112"/>
      <c r="H58" s="79"/>
      <c r="I58" s="82"/>
      <c r="J58" s="40"/>
    </row>
    <row r="59" spans="1:10" x14ac:dyDescent="0.2">
      <c r="A59" s="74"/>
      <c r="B59" s="75"/>
      <c r="C59" s="12" t="s">
        <v>56</v>
      </c>
      <c r="D59" s="9">
        <v>2</v>
      </c>
      <c r="E59" s="6"/>
      <c r="F59" s="107"/>
      <c r="G59" s="112"/>
      <c r="H59" s="79"/>
      <c r="I59" s="82"/>
      <c r="J59" s="40"/>
    </row>
    <row r="60" spans="1:10" x14ac:dyDescent="0.2">
      <c r="A60" s="74"/>
      <c r="B60" s="75"/>
      <c r="C60" s="12" t="s">
        <v>57</v>
      </c>
      <c r="D60" s="9">
        <v>2</v>
      </c>
      <c r="E60" s="6"/>
      <c r="F60" s="107"/>
      <c r="G60" s="112"/>
      <c r="H60" s="79"/>
      <c r="I60" s="82"/>
      <c r="J60" s="40"/>
    </row>
    <row r="61" spans="1:10" x14ac:dyDescent="0.2">
      <c r="A61" s="74"/>
      <c r="B61" s="75"/>
      <c r="C61" s="12" t="s">
        <v>58</v>
      </c>
      <c r="D61" s="9">
        <v>2</v>
      </c>
      <c r="E61" s="6"/>
      <c r="F61" s="107"/>
      <c r="G61" s="112"/>
      <c r="H61" s="79"/>
      <c r="I61" s="82"/>
      <c r="J61" s="40"/>
    </row>
    <row r="62" spans="1:10" x14ac:dyDescent="0.2">
      <c r="A62" s="74"/>
      <c r="B62" s="75"/>
      <c r="C62" s="12" t="s">
        <v>69</v>
      </c>
      <c r="D62" s="9">
        <v>0.5</v>
      </c>
      <c r="E62" s="6"/>
      <c r="F62" s="107"/>
      <c r="G62" s="112"/>
      <c r="H62" s="79"/>
      <c r="I62" s="82"/>
      <c r="J62" s="40"/>
    </row>
    <row r="63" spans="1:10" x14ac:dyDescent="0.2">
      <c r="A63" s="74"/>
      <c r="B63" s="75"/>
      <c r="C63" s="12" t="s">
        <v>70</v>
      </c>
      <c r="D63" s="9">
        <v>0.5</v>
      </c>
      <c r="E63" s="6"/>
      <c r="F63" s="107"/>
      <c r="G63" s="112"/>
      <c r="H63" s="79"/>
      <c r="I63" s="82"/>
      <c r="J63" s="40"/>
    </row>
    <row r="64" spans="1:10" x14ac:dyDescent="0.2">
      <c r="A64" s="74"/>
      <c r="B64" s="75"/>
      <c r="C64" s="12" t="s">
        <v>59</v>
      </c>
      <c r="D64" s="9">
        <v>2</v>
      </c>
      <c r="E64" s="6"/>
      <c r="F64" s="107"/>
      <c r="G64" s="112"/>
      <c r="H64" s="79"/>
      <c r="I64" s="82"/>
      <c r="J64" s="40"/>
    </row>
    <row r="65" spans="1:10" x14ac:dyDescent="0.2">
      <c r="A65" s="74"/>
      <c r="B65" s="75"/>
      <c r="C65" s="12" t="s">
        <v>60</v>
      </c>
      <c r="D65" s="9">
        <v>0.5</v>
      </c>
      <c r="E65" s="6"/>
      <c r="F65" s="107"/>
      <c r="G65" s="112"/>
      <c r="H65" s="79"/>
      <c r="I65" s="82"/>
      <c r="J65" s="40"/>
    </row>
    <row r="66" spans="1:10" x14ac:dyDescent="0.2">
      <c r="A66" s="74"/>
      <c r="B66" s="75"/>
      <c r="C66" s="12" t="s">
        <v>61</v>
      </c>
      <c r="D66" s="9">
        <v>5</v>
      </c>
      <c r="E66" s="6"/>
      <c r="F66" s="107"/>
      <c r="G66" s="112"/>
      <c r="H66" s="79"/>
      <c r="I66" s="82"/>
      <c r="J66" s="40"/>
    </row>
    <row r="67" spans="1:10" ht="17" thickBot="1" x14ac:dyDescent="0.25">
      <c r="A67" s="76"/>
      <c r="B67" s="77"/>
      <c r="C67" s="15" t="s">
        <v>9</v>
      </c>
      <c r="D67" s="10">
        <v>5</v>
      </c>
      <c r="E67" s="7"/>
      <c r="F67" s="108"/>
      <c r="G67" s="113"/>
      <c r="H67" s="80"/>
      <c r="I67" s="83"/>
      <c r="J67" s="41"/>
    </row>
    <row r="68" spans="1:10" ht="17" thickBot="1" x14ac:dyDescent="0.25">
      <c r="E68" s="24" t="s">
        <v>63</v>
      </c>
      <c r="H68" s="27">
        <f>SUM(H7:H67)</f>
        <v>112.5</v>
      </c>
      <c r="I68" s="25">
        <f>SUM(I7:I67)</f>
        <v>22.5</v>
      </c>
      <c r="J68" s="17">
        <f>SUM(J7:J67)</f>
        <v>0</v>
      </c>
    </row>
  </sheetData>
  <mergeCells count="56">
    <mergeCell ref="A1:L1"/>
    <mergeCell ref="F51:F56"/>
    <mergeCell ref="G51:G56"/>
    <mergeCell ref="F57:F67"/>
    <mergeCell ref="G57:G67"/>
    <mergeCell ref="F34:F42"/>
    <mergeCell ref="G34:G42"/>
    <mergeCell ref="F43:F47"/>
    <mergeCell ref="G43:G47"/>
    <mergeCell ref="F48:F50"/>
    <mergeCell ref="G48:G50"/>
    <mergeCell ref="F4:F6"/>
    <mergeCell ref="G4:G6"/>
    <mergeCell ref="F7:F18"/>
    <mergeCell ref="G7:G18"/>
    <mergeCell ref="F19:F33"/>
    <mergeCell ref="G19:G33"/>
    <mergeCell ref="J34:J42"/>
    <mergeCell ref="J43:J47"/>
    <mergeCell ref="H34:H42"/>
    <mergeCell ref="I7:I18"/>
    <mergeCell ref="I19:I33"/>
    <mergeCell ref="I34:I42"/>
    <mergeCell ref="H7:H18"/>
    <mergeCell ref="A57:B67"/>
    <mergeCell ref="H57:H67"/>
    <mergeCell ref="I57:I67"/>
    <mergeCell ref="J57:J67"/>
    <mergeCell ref="B31:B33"/>
    <mergeCell ref="A19:A33"/>
    <mergeCell ref="B19:B22"/>
    <mergeCell ref="B23:B30"/>
    <mergeCell ref="A48:B50"/>
    <mergeCell ref="H48:H50"/>
    <mergeCell ref="I48:I50"/>
    <mergeCell ref="J48:J50"/>
    <mergeCell ref="A51:B56"/>
    <mergeCell ref="H51:H56"/>
    <mergeCell ref="I51:I56"/>
    <mergeCell ref="A43:B47"/>
    <mergeCell ref="J51:J56"/>
    <mergeCell ref="A3:B3"/>
    <mergeCell ref="A7:A18"/>
    <mergeCell ref="B16:B18"/>
    <mergeCell ref="B7:B11"/>
    <mergeCell ref="B12:B15"/>
    <mergeCell ref="A4:B6"/>
    <mergeCell ref="H19:H33"/>
    <mergeCell ref="H4:H6"/>
    <mergeCell ref="I4:I6"/>
    <mergeCell ref="J4:J6"/>
    <mergeCell ref="H43:H47"/>
    <mergeCell ref="I43:I47"/>
    <mergeCell ref="A34:B42"/>
    <mergeCell ref="J7:J18"/>
    <mergeCell ref="J19:J33"/>
  </mergeCells>
  <pageMargins left="0.75" right="0.75" top="1" bottom="1" header="0.5" footer="0.5"/>
  <pageSetup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Meeas Security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Justin Searle</dc:creator>
  <cp:lastModifiedBy>Justin Searle</cp:lastModifiedBy>
  <dcterms:created xsi:type="dcterms:W3CDTF">2013-09-16T11:24:41Z</dcterms:created>
  <dcterms:modified xsi:type="dcterms:W3CDTF">2018-06-15T02:57:31Z</dcterms:modified>
</cp:coreProperties>
</file>